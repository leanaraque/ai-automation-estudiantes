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vin\Documents\CODERHOUSE\AI AUTOMATION\repos\ai-automation-estudiantes\semana-06\"/>
    </mc:Choice>
  </mc:AlternateContent>
  <xr:revisionPtr revIDLastSave="0" documentId="13_ncr:1_{33EEE414-EC4B-4615-8EAC-32A3583AAB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culadora" sheetId="1" r:id="rId1"/>
    <sheet name="Precios" sheetId="2" r:id="rId2"/>
  </sheets>
  <calcPr calcId="181029"/>
</workbook>
</file>

<file path=xl/calcChain.xml><?xml version="1.0" encoding="utf-8"?>
<calcChain xmlns="http://schemas.openxmlformats.org/spreadsheetml/2006/main">
  <c r="B29" i="1" l="1"/>
  <c r="B20" i="1"/>
  <c r="B19" i="1"/>
  <c r="B30" i="1" s="1"/>
  <c r="B18" i="1"/>
  <c r="C23" i="1" s="1"/>
  <c r="B17" i="1"/>
  <c r="B23" i="1" s="1"/>
  <c r="B25" i="1" l="1"/>
  <c r="C24" i="1"/>
  <c r="C25" i="1"/>
  <c r="C26" i="1"/>
  <c r="B24" i="1"/>
  <c r="D24" i="1" s="1"/>
  <c r="D23" i="1"/>
  <c r="D25" i="1"/>
  <c r="B31" i="1"/>
  <c r="B26" i="1"/>
  <c r="D26" i="1" s="1"/>
  <c r="E23" i="1" l="1"/>
  <c r="E26" i="1"/>
  <c r="F23" i="1"/>
  <c r="F26" i="1"/>
  <c r="E24" i="1"/>
  <c r="F24" i="1"/>
  <c r="E25" i="1"/>
  <c r="F25" i="1" s="1"/>
</calcChain>
</file>

<file path=xl/sharedStrings.xml><?xml version="1.0" encoding="utf-8"?>
<sst xmlns="http://schemas.openxmlformats.org/spreadsheetml/2006/main" count="83" uniqueCount="81">
  <si>
    <t>Calculadora de costos: API de Claude (Batch y Prompt Caching)</t>
  </si>
  <si>
    <t>Editá SOLO las celdas amarillas con texto azul. Todo lo demás se calcula solo. Ejemplo cargado: reporte mensual de Agencia Norte con Claude Sonnet 5 (tokens medidos en el Playground de Claude el 28/09/2026).</t>
  </si>
  <si>
    <t>1. SUPUESTOS DE TU CASO</t>
  </si>
  <si>
    <t>Cantidad de solicitudes (ej.: consultas, reseñas, contratos)</t>
  </si>
  <si>
    <t>Agencia Norte: consultas recibidas en el mes.</t>
  </si>
  <si>
    <t>Tokens de la parte FIJA (prefijo) por solicitud</t>
  </si>
  <si>
    <t>Medido en el Playground de Claude con Sonnet 5: entrada con el mensaje 'Hola' (2.264) menos 3.</t>
  </si>
  <si>
    <t>Tokens de la parte VARIABLE por solicitud</t>
  </si>
  <si>
    <t>Medido: promedio de Martina (212) y Julián (142) = entrada de cada uno menos la parte fija.</t>
  </si>
  <si>
    <t>Tokens de SALIDA por solicitud (respuesta)</t>
  </si>
  <si>
    <t>Medido: promedio de las respuestas de Martina (144) y Julián (126).</t>
  </si>
  <si>
    <t>Modelo elegido</t>
  </si>
  <si>
    <t>Claude Sonnet 5</t>
  </si>
  <si>
    <t>Copiá los precios de tu modelo desde la hoja Precios.</t>
  </si>
  <si>
    <t>Precio de ENTRADA (US$ por millón de tokens)</t>
  </si>
  <si>
    <t>Fuente: hoja Precios.</t>
  </si>
  <si>
    <t>Precio de SALIDA (US$ por millón de tokens)</t>
  </si>
  <si>
    <t>Escritura en caché de 5 minutos (US$ por millón)</t>
  </si>
  <si>
    <t>1,25 veces el precio de entrada.</t>
  </si>
  <si>
    <t>Escritura en caché de 1 hora (US$ por millón)</t>
  </si>
  <si>
    <t>2 veces el precio de entrada. Recomendado para lotes.</t>
  </si>
  <si>
    <t>Lectura desde caché (US$ por millón)</t>
  </si>
  <si>
    <t>0,1 veces el precio de entrada.</t>
  </si>
  <si>
    <t>Descuento de Message Batches</t>
  </si>
  <si>
    <t>50% sobre entrada y salida (también sobre el caché).</t>
  </si>
  <si>
    <t>Mínimo cacheable del modelo (tokens)</t>
  </si>
  <si>
    <t>Si la parte fija es más corta que este mínimo, el caché no se activa. Fuente: hoja Precios.</t>
  </si>
  <si>
    <t>2. TOKENS TOTALES</t>
  </si>
  <si>
    <t>Tokens de entrada totales (fija + variable) x solicitudes</t>
  </si>
  <si>
    <t>Tokens de salida totales</t>
  </si>
  <si>
    <t>Tokens del prefijo leídos desde caché (todas menos la primera)</t>
  </si>
  <si>
    <t>¿La parte fija supera el mínimo cacheable? (si dice NO, las filas con caché valen lo mismo que sin caché)</t>
  </si>
  <si>
    <t>3. MATRIZ DE COSTOS</t>
  </si>
  <si>
    <t>Escenario</t>
  </si>
  <si>
    <t>Entrada (US$)</t>
  </si>
  <si>
    <t>Salida (US$)</t>
  </si>
  <si>
    <t>Total (US$)</t>
  </si>
  <si>
    <t>Ahorro vs. base (US$)</t>
  </si>
  <si>
    <t>Ahorro (%)</t>
  </si>
  <si>
    <t>Cómo se calcula</t>
  </si>
  <si>
    <t>Base: sin optimizar</t>
  </si>
  <si>
    <t>Todos los tokens de entrada al precio de entrada, más la salida al precio de salida.</t>
  </si>
  <si>
    <t>Solo Message Batches</t>
  </si>
  <si>
    <t>La base con 50% de descuento. Requiere tolerar una espera de hasta 24 horas.</t>
  </si>
  <si>
    <t>Solo Prompt Caching (5 min)</t>
  </si>
  <si>
    <t>Prefijo: 1 escritura + lecturas baratas. La parte variable y la salida se pagan igual que en la base.</t>
  </si>
  <si>
    <t>Caching (1 h) + Batches</t>
  </si>
  <si>
    <t>Primero el caché, después el 50% sobre ese resultado. Los descuentos se multiplican: NO se suman.</t>
  </si>
  <si>
    <t>4. EL AHORRO DEL CACHÉ, SOLO SOBRE EL PREFIJO</t>
  </si>
  <si>
    <t>Prefijo sin caché (se lee completo en cada solicitud)</t>
  </si>
  <si>
    <t>Prefijo con caché de 5 min (1 escritura + lecturas)</t>
  </si>
  <si>
    <t>Ahorro sobre el prefijo</t>
  </si>
  <si>
    <t>NOTAS</t>
  </si>
  <si>
    <t>- El caché solo funciona si el prefijo supera el mínimo del modelo (celda B15 y hoja Precios). Si es más corto, no da error: simplemente no se guarda y pagás la base. La planilla lo chequea en la fila 20.</t>
  </si>
  <si>
    <t>- La fila Solo Caching supone que las solicitudes van seguidas (menos de 5 minutos entre una y otra), así el caché se mantiene vivo.</t>
  </si>
  <si>
    <t>- Dentro de un lote, los aciertos de caché no están garantizados: el lote puede tardar más de 5 minutos. Por eso para lotes se recomienda el caché de 1 hora. El costo real queda entre las filas Solo Message Batches y Caching + Batches.</t>
  </si>
  <si>
    <t>- Lo que baja es el COSTO por token, no la CANTIDAD de tokens: los tokens son los mismos en todas las filas.</t>
  </si>
  <si>
    <t>- Fuente de precios: platform.claude.com/docs/en/about-claude/pricing (verificado el 28/09/2026). Antes de entregar, confirmá que sigan vigentes.</t>
  </si>
  <si>
    <t>Precios oficiales de la API de Claude (US$ por millón de tokens)</t>
  </si>
  <si>
    <t>Fuente: platform.claude.com/docs/en/about-claude/pricing. Verificado el 28/09/2026. Los precios cambian: confirmalos antes de entregar.</t>
  </si>
  <si>
    <t>Modelo</t>
  </si>
  <si>
    <t>Entrada</t>
  </si>
  <si>
    <t>Salida</t>
  </si>
  <si>
    <t>Escritura caché 5 min</t>
  </si>
  <si>
    <t>Escritura caché 1 h</t>
  </si>
  <si>
    <t>Lectura de caché</t>
  </si>
  <si>
    <t>Batch entrada</t>
  </si>
  <si>
    <t>Batch salida</t>
  </si>
  <si>
    <t>Mínimo cacheable (tokens)</t>
  </si>
  <si>
    <t>Ventana de contexto (tokens)</t>
  </si>
  <si>
    <t>Para qué conviene</t>
  </si>
  <si>
    <t>Claude Haiku 4.5</t>
  </si>
  <si>
    <t>Tareas simples y masivas: clasificar, extraer datos cortos.</t>
  </si>
  <si>
    <t>La mayoría de las tareas de negocio: buen equilibrio entre calidad y costo.</t>
  </si>
  <si>
    <t>Claude Opus 5</t>
  </si>
  <si>
    <t>Razonamiento complejo y documentos muy densos.</t>
  </si>
  <si>
    <t>Reglas que valen para todos los modelos de la tabla:</t>
  </si>
  <si>
    <t>- Escritura en caché: 1,25 veces la entrada (5 minutos) o 2 veces (1 hora). Lectura: 0,1 veces la entrada.</t>
  </si>
  <si>
    <t>- Message Batches: 50% de descuento en entrada y salida. Se procesa en hasta 24 horas (la mayoría en menos de 1 hora). Resultados disponibles 29 días.</t>
  </si>
  <si>
    <t>- Los descuentos de caché y de Batch se combinan multiplicándose (no se suman).</t>
  </si>
  <si>
    <t>- El caché dura 5 minutos y se renueva gratis cada vez que se usa. Con la opción de 1 hora, dura 1 hora.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</si>
</sst>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US$ &quot;#,##0.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  <font>
      <sz val="11"/>
      <color rgb="FF0000FF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632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2" borderId="1" xfId="0" applyNumberFormat="1" applyFont="1" applyFill="1" applyBorder="1"/>
    <xf numFmtId="0" fontId="5" fillId="2" borderId="1" xfId="0" applyFont="1" applyFill="1" applyBorder="1"/>
    <xf numFmtId="164" fontId="5" fillId="2" borderId="1" xfId="0" applyNumberFormat="1" applyFont="1" applyFill="1" applyBorder="1"/>
    <xf numFmtId="165" fontId="5" fillId="2" borderId="1" xfId="0" applyNumberFormat="1" applyFont="1" applyFill="1" applyBorder="1"/>
    <xf numFmtId="3" fontId="4" fillId="0" borderId="0" xfId="0" applyNumberFormat="1" applyFont="1"/>
    <xf numFmtId="0" fontId="6" fillId="3" borderId="0" xfId="0" applyFont="1" applyFill="1" applyAlignment="1">
      <alignment vertical="center" wrapText="1"/>
    </xf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2" fillId="0" borderId="1" xfId="0" applyFont="1" applyBorder="1"/>
    <xf numFmtId="0" fontId="4" fillId="0" borderId="1" xfId="0" applyFont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/>
  </sheetViews>
  <sheetFormatPr defaultRowHeight="15" x14ac:dyDescent="0.25"/>
  <cols>
    <col min="1" max="1" width="62" customWidth="1"/>
    <col min="2" max="2" width="18" customWidth="1"/>
    <col min="3" max="3" width="16" customWidth="1"/>
    <col min="4" max="4" width="14" customWidth="1"/>
    <col min="5" max="5" width="20" customWidth="1"/>
    <col min="6" max="6" width="11" customWidth="1"/>
    <col min="7" max="7" width="9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4" spans="1:3" x14ac:dyDescent="0.25">
      <c r="A4" s="4" t="s">
        <v>3</v>
      </c>
      <c r="B4" s="5">
        <v>600</v>
      </c>
      <c r="C4" s="2" t="s">
        <v>4</v>
      </c>
    </row>
    <row r="5" spans="1:3" x14ac:dyDescent="0.25">
      <c r="A5" s="4" t="s">
        <v>5</v>
      </c>
      <c r="B5" s="5">
        <v>2261</v>
      </c>
      <c r="C5" s="2" t="s">
        <v>6</v>
      </c>
    </row>
    <row r="6" spans="1:3" x14ac:dyDescent="0.25">
      <c r="A6" s="4" t="s">
        <v>7</v>
      </c>
      <c r="B6" s="5">
        <v>177</v>
      </c>
      <c r="C6" s="2" t="s">
        <v>8</v>
      </c>
    </row>
    <row r="7" spans="1:3" x14ac:dyDescent="0.25">
      <c r="A7" s="4" t="s">
        <v>9</v>
      </c>
      <c r="B7" s="5">
        <v>135</v>
      </c>
      <c r="C7" s="2" t="s">
        <v>10</v>
      </c>
    </row>
    <row r="8" spans="1:3" x14ac:dyDescent="0.25">
      <c r="A8" s="4" t="s">
        <v>11</v>
      </c>
      <c r="B8" s="6" t="s">
        <v>12</v>
      </c>
      <c r="C8" s="2" t="s">
        <v>13</v>
      </c>
    </row>
    <row r="9" spans="1:3" x14ac:dyDescent="0.25">
      <c r="A9" s="4" t="s">
        <v>14</v>
      </c>
      <c r="B9" s="7">
        <v>2</v>
      </c>
      <c r="C9" s="2" t="s">
        <v>15</v>
      </c>
    </row>
    <row r="10" spans="1:3" x14ac:dyDescent="0.25">
      <c r="A10" s="4" t="s">
        <v>16</v>
      </c>
      <c r="B10" s="7">
        <v>10</v>
      </c>
      <c r="C10" s="2" t="s">
        <v>15</v>
      </c>
    </row>
    <row r="11" spans="1:3" x14ac:dyDescent="0.25">
      <c r="A11" s="4" t="s">
        <v>17</v>
      </c>
      <c r="B11" s="7">
        <v>2.5</v>
      </c>
      <c r="C11" s="2" t="s">
        <v>18</v>
      </c>
    </row>
    <row r="12" spans="1:3" x14ac:dyDescent="0.25">
      <c r="A12" s="4" t="s">
        <v>19</v>
      </c>
      <c r="B12" s="7">
        <v>4</v>
      </c>
      <c r="C12" s="2" t="s">
        <v>20</v>
      </c>
    </row>
    <row r="13" spans="1:3" x14ac:dyDescent="0.25">
      <c r="A13" s="4" t="s">
        <v>21</v>
      </c>
      <c r="B13" s="7">
        <v>0.2</v>
      </c>
      <c r="C13" s="2" t="s">
        <v>22</v>
      </c>
    </row>
    <row r="14" spans="1:3" x14ac:dyDescent="0.25">
      <c r="A14" s="4" t="s">
        <v>23</v>
      </c>
      <c r="B14" s="8">
        <v>0.5</v>
      </c>
      <c r="C14" s="2" t="s">
        <v>24</v>
      </c>
    </row>
    <row r="15" spans="1:3" x14ac:dyDescent="0.25">
      <c r="A15" s="4" t="s">
        <v>25</v>
      </c>
      <c r="B15" s="5">
        <v>1024</v>
      </c>
      <c r="C15" s="2" t="s">
        <v>26</v>
      </c>
    </row>
    <row r="16" spans="1:3" x14ac:dyDescent="0.25">
      <c r="A16" s="3" t="s">
        <v>27</v>
      </c>
    </row>
    <row r="17" spans="1:7" x14ac:dyDescent="0.25">
      <c r="A17" s="4" t="s">
        <v>28</v>
      </c>
      <c r="B17" s="9">
        <f>B4*(B5+B6)</f>
        <v>1462800</v>
      </c>
    </row>
    <row r="18" spans="1:7" x14ac:dyDescent="0.25">
      <c r="A18" s="4" t="s">
        <v>29</v>
      </c>
      <c r="B18" s="9">
        <f>B4*B7</f>
        <v>81000</v>
      </c>
    </row>
    <row r="19" spans="1:7" x14ac:dyDescent="0.25">
      <c r="A19" s="4" t="s">
        <v>30</v>
      </c>
      <c r="B19" s="9">
        <f>(B4-1)*B5</f>
        <v>1354339</v>
      </c>
    </row>
    <row r="20" spans="1:7" x14ac:dyDescent="0.25">
      <c r="A20" s="3" t="s">
        <v>31</v>
      </c>
      <c r="B20" s="3" t="str">
        <f>IF(B5&gt;=B15,"SÍ: el caché aplica","NO: el caché no aplica")</f>
        <v>SÍ: el caché aplica</v>
      </c>
    </row>
    <row r="21" spans="1:7" x14ac:dyDescent="0.25">
      <c r="A21" s="3" t="s">
        <v>32</v>
      </c>
    </row>
    <row r="22" spans="1:7" ht="32.1" customHeight="1" x14ac:dyDescent="0.25">
      <c r="A22" s="10" t="s">
        <v>33</v>
      </c>
      <c r="B22" s="10" t="s">
        <v>34</v>
      </c>
      <c r="C22" s="10" t="s">
        <v>35</v>
      </c>
      <c r="D22" s="10" t="s">
        <v>36</v>
      </c>
      <c r="E22" s="10" t="s">
        <v>37</v>
      </c>
      <c r="F22" s="10" t="s">
        <v>38</v>
      </c>
      <c r="G22" s="10" t="s">
        <v>39</v>
      </c>
    </row>
    <row r="23" spans="1:7" x14ac:dyDescent="0.25">
      <c r="A23" s="11" t="s">
        <v>40</v>
      </c>
      <c r="B23" s="12">
        <f>B17/1000000*B9</f>
        <v>2.9256000000000002</v>
      </c>
      <c r="C23" s="12">
        <f>B18/1000000*B10</f>
        <v>0.81</v>
      </c>
      <c r="D23" s="12">
        <f>B23+C23</f>
        <v>3.7356000000000003</v>
      </c>
      <c r="E23" s="12">
        <f>$D$23-D23</f>
        <v>0</v>
      </c>
      <c r="F23" s="13">
        <f>IF($D$23=0,0,E23/$D$23)</f>
        <v>0</v>
      </c>
      <c r="G23" s="14" t="s">
        <v>41</v>
      </c>
    </row>
    <row r="24" spans="1:7" x14ac:dyDescent="0.25">
      <c r="A24" s="15" t="s">
        <v>42</v>
      </c>
      <c r="B24" s="12">
        <f>B23*(1-$B$14)</f>
        <v>1.4628000000000001</v>
      </c>
      <c r="C24" s="12">
        <f>C23*(1-$B$14)</f>
        <v>0.40500000000000003</v>
      </c>
      <c r="D24" s="12">
        <f>B24+C24</f>
        <v>1.8678000000000001</v>
      </c>
      <c r="E24" s="12">
        <f>$D$23-D24</f>
        <v>1.8678000000000001</v>
      </c>
      <c r="F24" s="13">
        <f>IF($D$23=0,0,E24/$D$23)</f>
        <v>0.5</v>
      </c>
      <c r="G24" s="14" t="s">
        <v>43</v>
      </c>
    </row>
    <row r="25" spans="1:7" x14ac:dyDescent="0.25">
      <c r="A25" s="15" t="s">
        <v>44</v>
      </c>
      <c r="B25" s="12">
        <f>IF($B$5&gt;=$B$15,B5/1000000*B11+B19/1000000*B13+B4*B6/1000000*B9,B23)</f>
        <v>0.48892029999999997</v>
      </c>
      <c r="C25" s="12">
        <f>C23</f>
        <v>0.81</v>
      </c>
      <c r="D25" s="12">
        <f>B25+C25</f>
        <v>1.2989203</v>
      </c>
      <c r="E25" s="12">
        <f>$D$23-D25</f>
        <v>2.4366797</v>
      </c>
      <c r="F25" s="13">
        <f>IF($D$23=0,0,E25/$D$23)</f>
        <v>0.65228603169504229</v>
      </c>
      <c r="G25" s="14" t="s">
        <v>45</v>
      </c>
    </row>
    <row r="26" spans="1:7" x14ac:dyDescent="0.25">
      <c r="A26" s="15" t="s">
        <v>46</v>
      </c>
      <c r="B26" s="12">
        <f>IF($B$5&gt;=$B$15,(B5/1000000*B12+B19/1000000*B13+B4*B6/1000000*B9)*(1-$B$14),B24)</f>
        <v>0.24615589999999998</v>
      </c>
      <c r="C26" s="12">
        <f>C23*(1-$B$14)</f>
        <v>0.40500000000000003</v>
      </c>
      <c r="D26" s="12">
        <f>B26+C26</f>
        <v>0.65115590000000001</v>
      </c>
      <c r="E26" s="12">
        <f>$D$23-D26</f>
        <v>3.0844441000000002</v>
      </c>
      <c r="F26" s="13">
        <f>IF($D$23=0,0,E26/$D$23)</f>
        <v>0.82568907270585712</v>
      </c>
      <c r="G26" s="14" t="s">
        <v>47</v>
      </c>
    </row>
    <row r="28" spans="1:7" x14ac:dyDescent="0.25">
      <c r="A28" s="3" t="s">
        <v>48</v>
      </c>
    </row>
    <row r="29" spans="1:7" x14ac:dyDescent="0.25">
      <c r="A29" s="4" t="s">
        <v>49</v>
      </c>
      <c r="B29" s="16">
        <f>B4*B5/1000000*B9</f>
        <v>2.7132000000000001</v>
      </c>
    </row>
    <row r="30" spans="1:7" x14ac:dyDescent="0.25">
      <c r="A30" s="4" t="s">
        <v>50</v>
      </c>
      <c r="B30" s="16">
        <f>IF(B5&gt;=B15,B5/1000000*B11+B19/1000000*B13,B29)</f>
        <v>0.2765203</v>
      </c>
    </row>
    <row r="31" spans="1:7" x14ac:dyDescent="0.25">
      <c r="A31" s="4" t="s">
        <v>51</v>
      </c>
      <c r="B31" s="17">
        <f>IF(B29=0,0,(B29-B30)/B29)</f>
        <v>0.89808333333333334</v>
      </c>
    </row>
    <row r="33" spans="1:1" x14ac:dyDescent="0.25">
      <c r="A33" s="3" t="s">
        <v>52</v>
      </c>
    </row>
    <row r="34" spans="1:1" x14ac:dyDescent="0.25">
      <c r="A34" s="2" t="s">
        <v>53</v>
      </c>
    </row>
    <row r="35" spans="1:1" x14ac:dyDescent="0.25">
      <c r="A35" s="2" t="s">
        <v>54</v>
      </c>
    </row>
    <row r="36" spans="1:1" x14ac:dyDescent="0.25">
      <c r="A36" s="2" t="s">
        <v>55</v>
      </c>
    </row>
    <row r="37" spans="1:1" x14ac:dyDescent="0.25">
      <c r="A37" s="2" t="s">
        <v>56</v>
      </c>
    </row>
    <row r="38" spans="1:1" x14ac:dyDescent="0.25">
      <c r="A38" s="2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/>
  </sheetViews>
  <sheetFormatPr defaultRowHeight="15" x14ac:dyDescent="0.25"/>
  <cols>
    <col min="1" max="1" width="20" customWidth="1"/>
    <col min="2" max="3" width="10" customWidth="1"/>
    <col min="4" max="5" width="14" customWidth="1"/>
    <col min="6" max="8" width="12" customWidth="1"/>
    <col min="9" max="9" width="16" customWidth="1"/>
    <col min="10" max="10" width="18" customWidth="1"/>
    <col min="11" max="11" width="70" customWidth="1"/>
  </cols>
  <sheetData>
    <row r="1" spans="1:11" ht="18" x14ac:dyDescent="0.25">
      <c r="A1" s="1" t="s">
        <v>58</v>
      </c>
    </row>
    <row r="2" spans="1:11" x14ac:dyDescent="0.25">
      <c r="A2" s="2" t="s">
        <v>59</v>
      </c>
    </row>
    <row r="4" spans="1:11" ht="45" customHeight="1" x14ac:dyDescent="0.25">
      <c r="A4" s="10" t="s">
        <v>60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</row>
    <row r="5" spans="1:11" x14ac:dyDescent="0.25">
      <c r="A5" s="15" t="s">
        <v>71</v>
      </c>
      <c r="B5" s="12">
        <v>1</v>
      </c>
      <c r="C5" s="12">
        <v>5</v>
      </c>
      <c r="D5" s="12">
        <v>1.25</v>
      </c>
      <c r="E5" s="12">
        <v>2</v>
      </c>
      <c r="F5" s="12">
        <v>0.1</v>
      </c>
      <c r="G5" s="12">
        <v>0.5</v>
      </c>
      <c r="H5" s="12">
        <v>2.5</v>
      </c>
      <c r="I5" s="18">
        <v>4096</v>
      </c>
      <c r="J5" s="18">
        <v>200000</v>
      </c>
      <c r="K5" s="15" t="s">
        <v>72</v>
      </c>
    </row>
    <row r="6" spans="1:11" x14ac:dyDescent="0.25">
      <c r="A6" s="15" t="s">
        <v>12</v>
      </c>
      <c r="B6" s="12">
        <v>2</v>
      </c>
      <c r="C6" s="12">
        <v>10</v>
      </c>
      <c r="D6" s="12">
        <v>2.5</v>
      </c>
      <c r="E6" s="12">
        <v>4</v>
      </c>
      <c r="F6" s="12">
        <v>0.2</v>
      </c>
      <c r="G6" s="12">
        <v>1</v>
      </c>
      <c r="H6" s="12">
        <v>5</v>
      </c>
      <c r="I6" s="18">
        <v>1024</v>
      </c>
      <c r="J6" s="18">
        <v>1000000</v>
      </c>
      <c r="K6" s="15" t="s">
        <v>73</v>
      </c>
    </row>
    <row r="7" spans="1:11" x14ac:dyDescent="0.25">
      <c r="A7" s="15" t="s">
        <v>74</v>
      </c>
      <c r="B7" s="12">
        <v>5</v>
      </c>
      <c r="C7" s="12">
        <v>25</v>
      </c>
      <c r="D7" s="12">
        <v>6.25</v>
      </c>
      <c r="E7" s="12">
        <v>10</v>
      </c>
      <c r="F7" s="12">
        <v>0.5</v>
      </c>
      <c r="G7" s="12">
        <v>2.5</v>
      </c>
      <c r="H7" s="12">
        <v>12.5</v>
      </c>
      <c r="I7" s="18">
        <v>512</v>
      </c>
      <c r="J7" s="18">
        <v>1000000</v>
      </c>
      <c r="K7" s="15" t="s">
        <v>75</v>
      </c>
    </row>
    <row r="9" spans="1:11" x14ac:dyDescent="0.25">
      <c r="A9" s="3" t="s">
        <v>76</v>
      </c>
    </row>
    <row r="10" spans="1:11" x14ac:dyDescent="0.25">
      <c r="A10" s="2" t="s">
        <v>77</v>
      </c>
    </row>
    <row r="11" spans="1:11" x14ac:dyDescent="0.25">
      <c r="A11" s="2" t="s">
        <v>78</v>
      </c>
    </row>
    <row r="12" spans="1:11" x14ac:dyDescent="0.25">
      <c r="A12" s="2" t="s">
        <v>79</v>
      </c>
    </row>
    <row r="13" spans="1:11" x14ac:dyDescent="0.25">
      <c r="A13" s="2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Calculadora</vt:lpstr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Araque</cp:lastModifiedBy>
  <dcterms:created xsi:type="dcterms:W3CDTF">2026-09-28T17:35:51Z</dcterms:created>
  <dcterms:modified xsi:type="dcterms:W3CDTF">2026-09-28T17:36:08Z</dcterms:modified>
</cp:coreProperties>
</file>